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78d2537a1f535f1c/Documents/EXCEL/"/>
    </mc:Choice>
  </mc:AlternateContent>
  <xr:revisionPtr revIDLastSave="105" documentId="11_F25DC773A252ABDACC104849C99C61665BDE58E7" xr6:coauthVersionLast="47" xr6:coauthVersionMax="47" xr10:uidLastSave="{6B2308F5-8207-4E3A-AC95-B9FF4D917944}"/>
  <bookViews>
    <workbookView xWindow="-110" yWindow="-110" windowWidth="19420" windowHeight="10300" activeTab="2" xr2:uid="{00000000-000D-0000-FFFF-FFFF00000000}"/>
  </bookViews>
  <sheets>
    <sheet name="HLOOKUP" sheetId="1" r:id="rId1"/>
    <sheet name="VLOOKUP" sheetId="2" r:id="rId2"/>
    <sheet name="HUHUHAH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7" i="3" l="1"/>
  <c r="B16" i="3"/>
  <c r="B15" i="3"/>
  <c r="B14" i="3"/>
  <c r="B11" i="3"/>
  <c r="B10" i="3"/>
  <c r="H3" i="1"/>
  <c r="H1" i="1"/>
  <c r="G3" i="2"/>
  <c r="G1" i="2"/>
</calcChain>
</file>

<file path=xl/sharedStrings.xml><?xml version="1.0" encoding="utf-8"?>
<sst xmlns="http://schemas.openxmlformats.org/spreadsheetml/2006/main" count="47" uniqueCount="31">
  <si>
    <t>Barang</t>
  </si>
  <si>
    <t>Pena</t>
  </si>
  <si>
    <t>Buku</t>
  </si>
  <si>
    <t>Penggaris</t>
  </si>
  <si>
    <t>Pensil</t>
  </si>
  <si>
    <t>Harga</t>
  </si>
  <si>
    <t>Stok</t>
  </si>
  <si>
    <r>
      <t xml:space="preserve">Berapa </t>
    </r>
    <r>
      <rPr>
        <b/>
        <sz val="11"/>
        <color theme="1"/>
        <rFont val="Calibri"/>
        <family val="2"/>
        <scheme val="minor"/>
      </rPr>
      <t>harga Buku</t>
    </r>
    <r>
      <rPr>
        <sz val="11"/>
        <color theme="1"/>
        <rFont val="Calibri"/>
        <family val="2"/>
        <scheme val="minor"/>
      </rPr>
      <t>?</t>
    </r>
  </si>
  <si>
    <r>
      <t xml:space="preserve">Berapa </t>
    </r>
    <r>
      <rPr>
        <b/>
        <sz val="11"/>
        <color theme="1"/>
        <rFont val="Calibri"/>
        <family val="2"/>
        <scheme val="minor"/>
      </rPr>
      <t>stok Pensil</t>
    </r>
    <r>
      <rPr>
        <sz val="11"/>
        <color theme="1"/>
        <rFont val="Calibri"/>
        <family val="2"/>
        <scheme val="minor"/>
      </rPr>
      <t>?</t>
    </r>
  </si>
  <si>
    <r>
      <t xml:space="preserve">Ganti nama barang yang dicari pakai </t>
    </r>
    <r>
      <rPr>
        <b/>
        <sz val="11"/>
        <color theme="1"/>
        <rFont val="Calibri"/>
        <family val="2"/>
        <scheme val="minor"/>
      </rPr>
      <t>sel referensi</t>
    </r>
    <r>
      <rPr>
        <sz val="11"/>
        <color theme="1"/>
        <rFont val="Calibri"/>
        <family val="2"/>
        <scheme val="minor"/>
      </rPr>
      <t xml:space="preserve"> (misalnya </t>
    </r>
    <r>
      <rPr>
        <sz val="10"/>
        <color theme="1"/>
        <rFont val="Arial Unicode MS"/>
      </rPr>
      <t>F1</t>
    </r>
    <r>
      <rPr>
        <sz val="11"/>
        <color theme="1"/>
        <rFont val="Calibri"/>
        <family val="2"/>
        <scheme val="minor"/>
      </rPr>
      <t xml:space="preserve"> berisi nama barang, dan rumus otomatis menyesuaikan).</t>
    </r>
  </si>
  <si>
    <t>Kode</t>
  </si>
  <si>
    <t>B01</t>
  </si>
  <si>
    <t>B02</t>
  </si>
  <si>
    <t>Buku Tulis</t>
  </si>
  <si>
    <t>B03</t>
  </si>
  <si>
    <t>B04</t>
  </si>
  <si>
    <t>Spidol</t>
  </si>
  <si>
    <r>
      <t xml:space="preserve">Berapa </t>
    </r>
    <r>
      <rPr>
        <b/>
        <sz val="11"/>
        <color theme="1"/>
        <rFont val="Calibri"/>
        <family val="2"/>
        <scheme val="minor"/>
      </rPr>
      <t>harga Buku Tulis</t>
    </r>
    <r>
      <rPr>
        <sz val="11"/>
        <color theme="1"/>
        <rFont val="Calibri"/>
        <family val="2"/>
        <scheme val="minor"/>
      </rPr>
      <t>?</t>
    </r>
  </si>
  <si>
    <r>
      <t xml:space="preserve">Kalau kamu punya sel </t>
    </r>
    <r>
      <rPr>
        <b/>
        <sz val="11"/>
        <color theme="1"/>
        <rFont val="Calibri"/>
        <family val="2"/>
        <scheme val="minor"/>
      </rPr>
      <t>F1</t>
    </r>
    <r>
      <rPr>
        <sz val="11"/>
        <color theme="1"/>
        <rFont val="Calibri"/>
        <family val="2"/>
        <scheme val="minor"/>
      </rPr>
      <t xml:space="preserve"> yang isinya </t>
    </r>
    <r>
      <rPr>
        <i/>
        <sz val="11"/>
        <color theme="1"/>
        <rFont val="Calibri"/>
        <family val="2"/>
        <scheme val="minor"/>
      </rPr>
      <t>kode barang</t>
    </r>
    <r>
      <rPr>
        <sz val="11"/>
        <color theme="1"/>
        <rFont val="Calibri"/>
        <family val="2"/>
        <scheme val="minor"/>
      </rPr>
      <t xml:space="preserve"> (misal “B03”), buat rumus agar otomatis menampilkan </t>
    </r>
    <r>
      <rPr>
        <b/>
        <sz val="11"/>
        <color theme="1"/>
        <rFont val="Calibri"/>
        <family val="2"/>
        <scheme val="minor"/>
      </rPr>
      <t>nama barangnya</t>
    </r>
    <r>
      <rPr>
        <sz val="11"/>
        <color theme="1"/>
        <rFont val="Calibri"/>
        <family val="2"/>
        <scheme val="minor"/>
      </rPr>
      <t>.</t>
    </r>
  </si>
  <si>
    <t>Supplier</t>
  </si>
  <si>
    <t>Toko A</t>
  </si>
  <si>
    <t>Toko B</t>
  </si>
  <si>
    <t>Toko C</t>
  </si>
  <si>
    <r>
      <t xml:space="preserve">Cari </t>
    </r>
    <r>
      <rPr>
        <b/>
        <sz val="11"/>
        <color theme="1"/>
        <rFont val="Calibri"/>
        <family val="2"/>
        <scheme val="minor"/>
      </rPr>
      <t>Harga Spidol</t>
    </r>
    <r>
      <rPr>
        <sz val="11"/>
        <color theme="1"/>
        <rFont val="Calibri"/>
        <family val="2"/>
        <scheme val="minor"/>
      </rPr>
      <t xml:space="preserve"> pakai rumus HLOOKUP.</t>
    </r>
  </si>
  <si>
    <r>
      <t xml:space="preserve">Cari </t>
    </r>
    <r>
      <rPr>
        <b/>
        <sz val="11"/>
        <color theme="1"/>
        <rFont val="Calibri"/>
        <family val="2"/>
        <scheme val="minor"/>
      </rPr>
      <t>Stok Buku</t>
    </r>
    <r>
      <rPr>
        <sz val="11"/>
        <color theme="1"/>
        <rFont val="Calibri"/>
        <family val="2"/>
        <scheme val="minor"/>
      </rPr>
      <t xml:space="preserve"> pakai rumus HLOOKUP.</t>
    </r>
  </si>
  <si>
    <r>
      <t xml:space="preserve">Buat rumus agar kalau kamu ketik nama barang di sel </t>
    </r>
    <r>
      <rPr>
        <b/>
        <sz val="11"/>
        <color theme="1"/>
        <rFont val="Calibri"/>
        <family val="2"/>
        <scheme val="minor"/>
      </rPr>
      <t>F1</t>
    </r>
    <r>
      <rPr>
        <sz val="11"/>
        <color theme="1"/>
        <rFont val="Calibri"/>
        <family val="2"/>
        <scheme val="minor"/>
      </rPr>
      <t xml:space="preserve">, Excel otomatis menampilkan </t>
    </r>
    <r>
      <rPr>
        <b/>
        <sz val="11"/>
        <color theme="1"/>
        <rFont val="Calibri"/>
        <family val="2"/>
        <scheme val="minor"/>
      </rPr>
      <t>Supplier-nya</t>
    </r>
    <r>
      <rPr>
        <sz val="11"/>
        <color theme="1"/>
        <rFont val="Calibri"/>
        <family val="2"/>
        <scheme val="minor"/>
      </rPr>
      <t>.</t>
    </r>
  </si>
  <si>
    <t>(Bonus) Coba ubah nama barang di F1 beberapa kali (misal "Pensil", "Buku", "Penggaris") dan lihat apakah hasil Supplier berubah otomatis.</t>
  </si>
  <si>
    <t>harga spidol</t>
  </si>
  <si>
    <t>stok buku</t>
  </si>
  <si>
    <t>BARANG</t>
  </si>
  <si>
    <t>SUPPLIER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</si>
</sst>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0" fillId="0" borderId="0" xfId="0" applyBorder="1"/>
    <xf numFmtId="0" fontId="0" fillId="0" borderId="0" xfId="0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0" fillId="0" borderId="4" xfId="0" applyBorder="1" applyAlignment="1">
      <alignment vertical="center" wrapText="1"/>
    </xf>
    <xf numFmtId="0" fontId="0" fillId="0" borderId="5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7" xfId="0" applyBorder="1" applyAlignment="1">
      <alignment wrapText="1"/>
    </xf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"/>
  <sheetViews>
    <sheetView workbookViewId="0">
      <selection activeCell="A7" sqref="A7"/>
    </sheetView>
  </sheetViews>
  <sheetFormatPr defaultRowHeight="14.5"/>
  <cols>
    <col min="7" max="7" width="22.81640625" customWidth="1"/>
  </cols>
  <sheetData>
    <row r="1" spans="1:14" ht="29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9"/>
      <c r="G1" s="9" t="s">
        <v>7</v>
      </c>
      <c r="H1" s="10">
        <f>HLOOKUP("Buku", A1:E3, 2, FALSE)</f>
        <v>5000</v>
      </c>
      <c r="J1" s="2"/>
      <c r="K1" s="2"/>
      <c r="L1" s="2"/>
      <c r="M1" s="2"/>
      <c r="N1" s="2"/>
    </row>
    <row r="2" spans="1:14">
      <c r="A2" s="11" t="s">
        <v>5</v>
      </c>
      <c r="B2" s="6">
        <v>3000</v>
      </c>
      <c r="C2" s="6">
        <v>5000</v>
      </c>
      <c r="D2" s="6">
        <v>4000</v>
      </c>
      <c r="E2" s="6">
        <v>2000</v>
      </c>
      <c r="F2" s="5"/>
      <c r="G2" s="5"/>
      <c r="H2" s="12"/>
      <c r="J2" s="3"/>
      <c r="K2" s="3"/>
      <c r="L2" s="3"/>
      <c r="M2" s="3"/>
      <c r="N2" s="3"/>
    </row>
    <row r="3" spans="1:14">
      <c r="A3" s="11" t="s">
        <v>6</v>
      </c>
      <c r="B3" s="6">
        <v>50</v>
      </c>
      <c r="C3" s="6">
        <v>30</v>
      </c>
      <c r="D3" s="6">
        <v>20</v>
      </c>
      <c r="E3" s="6">
        <v>80</v>
      </c>
      <c r="F3" s="5"/>
      <c r="G3" s="5" t="s">
        <v>8</v>
      </c>
      <c r="H3" s="12">
        <f>HLOOKUP("Pensil", A1:E3, 3, FALSE)</f>
        <v>80</v>
      </c>
      <c r="J3" s="3"/>
      <c r="K3" s="3"/>
      <c r="L3" s="3"/>
      <c r="M3" s="3"/>
      <c r="N3" s="3"/>
    </row>
    <row r="4" spans="1:14">
      <c r="A4" s="13"/>
      <c r="B4" s="5"/>
      <c r="C4" s="5"/>
      <c r="D4" s="5"/>
      <c r="E4" s="5"/>
      <c r="F4" s="5"/>
      <c r="G4" s="5"/>
      <c r="H4" s="12"/>
      <c r="J4" s="3"/>
      <c r="K4" s="3"/>
      <c r="L4" s="3"/>
      <c r="M4" s="3"/>
      <c r="N4" s="3"/>
    </row>
    <row r="5" spans="1:14" ht="72.5">
      <c r="A5" s="14"/>
      <c r="B5" s="15"/>
      <c r="C5" s="15"/>
      <c r="D5" s="15"/>
      <c r="E5" s="15"/>
      <c r="F5" s="15"/>
      <c r="G5" s="16" t="s">
        <v>9</v>
      </c>
      <c r="H5" s="17"/>
      <c r="J5" s="3"/>
      <c r="K5" s="3"/>
      <c r="L5" s="3"/>
      <c r="M5" s="3"/>
      <c r="N5" s="3"/>
    </row>
    <row r="8" spans="1:14">
      <c r="A8" s="2"/>
      <c r="B8" s="2"/>
      <c r="C8" s="2"/>
      <c r="D8" s="2"/>
      <c r="E8" s="2"/>
    </row>
    <row r="9" spans="1:14">
      <c r="A9" s="3"/>
      <c r="B9" s="3"/>
      <c r="C9" s="3"/>
      <c r="D9" s="3"/>
      <c r="E9" s="3"/>
    </row>
    <row r="10" spans="1:14">
      <c r="A10" s="3"/>
      <c r="B10" s="3"/>
      <c r="C10" s="3"/>
      <c r="D10" s="3"/>
      <c r="E10" s="3"/>
    </row>
    <row r="11" spans="1:14">
      <c r="A11" s="3"/>
      <c r="B11" s="3"/>
      <c r="C11" s="3"/>
      <c r="D11" s="3"/>
      <c r="E11" s="3"/>
    </row>
    <row r="12" spans="1:14">
      <c r="A12" s="3"/>
      <c r="B12" s="3"/>
      <c r="C12" s="3"/>
      <c r="D12" s="3"/>
      <c r="E12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F4D72-44B1-48E7-8F90-887CD3DCC138}">
  <dimension ref="A1:G8"/>
  <sheetViews>
    <sheetView workbookViewId="0">
      <selection activeCell="B8" sqref="B8"/>
    </sheetView>
  </sheetViews>
  <sheetFormatPr defaultRowHeight="14.5"/>
  <cols>
    <col min="6" max="6" width="24.54296875" customWidth="1"/>
  </cols>
  <sheetData>
    <row r="1" spans="1:7">
      <c r="A1" s="2" t="s">
        <v>10</v>
      </c>
      <c r="B1" s="2" t="s">
        <v>0</v>
      </c>
      <c r="C1" s="2" t="s">
        <v>5</v>
      </c>
      <c r="F1" t="s">
        <v>17</v>
      </c>
      <c r="G1">
        <f>VLOOKUP("B02", A1:C5, 3, FALSE)</f>
        <v>5000</v>
      </c>
    </row>
    <row r="2" spans="1:7">
      <c r="A2" s="3" t="s">
        <v>11</v>
      </c>
      <c r="B2" s="3" t="s">
        <v>4</v>
      </c>
      <c r="C2" s="3">
        <v>2000</v>
      </c>
    </row>
    <row r="3" spans="1:7" ht="72.5">
      <c r="A3" s="3" t="s">
        <v>12</v>
      </c>
      <c r="B3" s="3" t="s">
        <v>13</v>
      </c>
      <c r="C3" s="3">
        <v>5000</v>
      </c>
      <c r="F3" s="4" t="s">
        <v>18</v>
      </c>
      <c r="G3" t="str">
        <f>VLOOKUP("B03", A1:C5, 2, FALSE)</f>
        <v>Penggaris</v>
      </c>
    </row>
    <row r="4" spans="1:7">
      <c r="A4" s="3" t="s">
        <v>14</v>
      </c>
      <c r="B4" s="3" t="s">
        <v>3</v>
      </c>
      <c r="C4" s="3">
        <v>4000</v>
      </c>
    </row>
    <row r="5" spans="1:7">
      <c r="A5" s="3" t="s">
        <v>15</v>
      </c>
      <c r="B5" s="3" t="s">
        <v>16</v>
      </c>
      <c r="C5" s="3">
        <v>6000</v>
      </c>
      <c r="F5" s="4"/>
    </row>
    <row r="8" spans="1:7">
      <c r="A8" s="3"/>
      <c r="B8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4CA69-803F-4219-BB11-FCD9683BF7B2}">
  <dimension ref="A1:G17"/>
  <sheetViews>
    <sheetView tabSelected="1" workbookViewId="0">
      <selection activeCell="G17" sqref="G17"/>
    </sheetView>
  </sheetViews>
  <sheetFormatPr defaultRowHeight="14.5"/>
  <cols>
    <col min="1" max="1" width="11.6328125" customWidth="1"/>
    <col min="2" max="2" width="11.08984375" customWidth="1"/>
    <col min="3" max="3" width="11.26953125" customWidth="1"/>
    <col min="4" max="4" width="11" customWidth="1"/>
    <col min="5" max="5" width="10" customWidth="1"/>
  </cols>
  <sheetData>
    <row r="1" spans="1:7">
      <c r="A1" s="3" t="s">
        <v>0</v>
      </c>
      <c r="B1" s="1" t="s">
        <v>4</v>
      </c>
      <c r="C1" s="1" t="s">
        <v>2</v>
      </c>
      <c r="D1" s="1" t="s">
        <v>16</v>
      </c>
      <c r="E1" s="1" t="s">
        <v>3</v>
      </c>
      <c r="G1" t="s">
        <v>23</v>
      </c>
    </row>
    <row r="2" spans="1:7">
      <c r="A2" s="3" t="s">
        <v>5</v>
      </c>
      <c r="B2" s="1">
        <v>2000</v>
      </c>
      <c r="C2" s="1">
        <v>5000</v>
      </c>
      <c r="D2" s="1">
        <v>6000</v>
      </c>
      <c r="E2" s="1">
        <v>4000</v>
      </c>
    </row>
    <row r="3" spans="1:7">
      <c r="A3" s="3" t="s">
        <v>6</v>
      </c>
      <c r="B3" s="1">
        <v>80</v>
      </c>
      <c r="C3" s="1">
        <v>40</v>
      </c>
      <c r="D3" s="1">
        <v>25</v>
      </c>
      <c r="E3" s="1">
        <v>60</v>
      </c>
      <c r="G3" t="s">
        <v>24</v>
      </c>
    </row>
    <row r="4" spans="1:7">
      <c r="A4" s="3" t="s">
        <v>19</v>
      </c>
      <c r="B4" s="1" t="s">
        <v>20</v>
      </c>
      <c r="C4" s="1" t="s">
        <v>21</v>
      </c>
      <c r="D4" s="1" t="s">
        <v>22</v>
      </c>
      <c r="E4" s="1" t="s">
        <v>20</v>
      </c>
    </row>
    <row r="5" spans="1:7">
      <c r="A5" s="3"/>
      <c r="B5" s="1"/>
      <c r="C5" s="1"/>
      <c r="D5" s="1"/>
      <c r="E5" s="1"/>
      <c r="G5" t="s">
        <v>25</v>
      </c>
    </row>
    <row r="7" spans="1:7">
      <c r="G7" t="s">
        <v>26</v>
      </c>
    </row>
    <row r="10" spans="1:7">
      <c r="A10" t="s">
        <v>27</v>
      </c>
      <c r="B10">
        <f>HLOOKUP("Spidol", A1:E4, 2, FALSE)</f>
        <v>6000</v>
      </c>
    </row>
    <row r="11" spans="1:7">
      <c r="A11" t="s">
        <v>28</v>
      </c>
      <c r="B11">
        <f>HLOOKUP("Buku", A1:E4, 3, FALSE)</f>
        <v>40</v>
      </c>
    </row>
    <row r="13" spans="1:7">
      <c r="A13" t="s">
        <v>29</v>
      </c>
      <c r="B13" t="s">
        <v>30</v>
      </c>
    </row>
    <row r="14" spans="1:7">
      <c r="A14" t="s">
        <v>4</v>
      </c>
      <c r="B14" t="str">
        <f>HLOOKUP("Pensil", A1:E4, 4, FALSE)</f>
        <v>Toko A</v>
      </c>
    </row>
    <row r="15" spans="1:7">
      <c r="A15" t="s">
        <v>2</v>
      </c>
      <c r="B15" t="str">
        <f>HLOOKUP("Buku", A1:E4, 4, FALSE)</f>
        <v>Toko B</v>
      </c>
    </row>
    <row r="16" spans="1:7">
      <c r="A16" t="s">
        <v>16</v>
      </c>
      <c r="B16" t="str">
        <f>HLOOKUP("Spidol", A1:E4, 4, FALSE)</f>
        <v>Toko C</v>
      </c>
    </row>
    <row r="17" spans="1:2">
      <c r="A17" t="s">
        <v>3</v>
      </c>
      <c r="B17" t="str">
        <f>HLOOKUP("Penggaris", A1:E4, 4, FALSE)</f>
        <v>Toko A</v>
      </c>
    </row>
  </sheetData>
  <pageMargins left="0.7" right="0.7" top="0.75" bottom="0.75" header="0.3" footer="0.3"/>
  <ignoredErrors>
    <ignoredError sqref="B15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HLOOKUP</vt:lpstr>
      <vt:lpstr>VLOOKUP</vt:lpstr>
      <vt:lpstr>HUHUHAHA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 A416J</cp:lastModifiedBy>
  <dcterms:created xsi:type="dcterms:W3CDTF">2015-06-05T18:17:20Z</dcterms:created>
  <dcterms:modified xsi:type="dcterms:W3CDTF">2025-10-24T07:54:05Z</dcterms:modified>
</cp:coreProperties>
</file>